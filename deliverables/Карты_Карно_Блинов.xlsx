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f44f2e79b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еходы" sheetId="1" r:id="R82a1e5d52c4f418e"/>
    <x:sheet xmlns:r="http://schemas.openxmlformats.org/officeDocument/2006/relationships" name="Карты Карно" sheetId="2" r:id="R80e440adcfc1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"/>
  </x:numFmts>
  <x:fonts count="10">
    <x:font>
      <x:sz val="11"/>
      <x:name val="Carlito"/>
    </x:font>
    <x:font>
      <x:sz val="11"/>
      <x:name val="Times New Roman"/>
    </x:font>
    <x:font>
      <x:b/>
      <x:sz val="11"/>
      <x:color rgb="FF000000"/>
      <x:name val="Times New Roman"/>
    </x:font>
    <x:font>
      <x:sz val="12"/>
      <x:name val="Times New Roman"/>
    </x:font>
    <x:font>
      <x:b/>
      <x:sz val="15"/>
      <x:color rgb="FF000000"/>
      <x:name val="Times New Roman"/>
    </x:font>
    <x:font>
      <x:b/>
      <x:sz val="12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i/>
      <x:sz val="11"/>
      <x:name val="Times New Roman"/>
    </x:font>
    <x:font>
      <x:i/>
      <x:sz val="10"/>
      <x:color rgb="FF374151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10ACE0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3F4F6"/>
      </x:patternFill>
    </x:fill>
  </x:fills>
  <x:borders count="10">
    <x:border/>
    <x:border>
      <x:left style="thin">
        <x:color rgb="FF1F1F1F"/>
      </x:left>
      <x:right style="thin">
        <x:color rgb="FF1F1F1F"/>
      </x:right>
      <x:top style="thin">
        <x:color rgb="FF1F1F1F"/>
      </x:top>
      <x:bottom style="thin">
        <x:color rgb="FF1F1F1F"/>
      </x:bottom>
    </x:border>
    <x:border>
      <x:left style="thin">
        <x:color rgb="FF6B7280"/>
      </x:left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medium">
        <x:color rgb="FF333333"/>
      </x:left>
      <x:top style="medium">
        <x:color rgb="FF333333"/>
      </x:top>
      <x:bottom style="medium">
        <x:color rgb="FF333333"/>
      </x:bottom>
    </x:border>
    <x:border>
      <x:top style="medium">
        <x:color rgb="FF333333"/>
      </x:top>
      <x:bottom style="medium">
        <x:color rgb="FF333333"/>
      </x:bottom>
    </x:border>
    <x:border>
      <x:right style="medium">
        <x:color rgb="FF333333"/>
      </x:right>
      <x:top style="medium">
        <x:color rgb="FF333333"/>
      </x:top>
      <x:bottom style="medium">
        <x:color rgb="FF333333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horizontal="left"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3" xfId="0" applyNumberFormat="1" applyFont="1" applyFill="1" applyBorder="1" applyAlignment="1">
      <x:alignment horizontal="center"/>
    </x:xf>
    <x:xf numFmtId="0" fontId="5" fillId="4" borderId="4" xfId="0" applyNumberFormat="1" applyFont="1" applyFill="1" applyBorder="1" applyAlignment="1">
      <x:alignment horizontal="center"/>
    </x:xf>
    <x:xf numFmtId="0" fontId="5" fillId="4" borderId="5" xfId="0" applyNumberFormat="1" applyFont="1" applyFill="1" applyBorder="1" applyAlignment="1">
      <x:alignment horizont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0" fontId="3" fillId="0" borderId="6" xfId="0" applyNumberFormat="1" applyFont="1" applyFill="1" applyBorder="1"/>
    <x:xf numFmtId="200" fontId="3" fillId="0" borderId="6" xfId="0" applyNumberFormat="1" applyFont="1" applyFill="1" applyBorder="1"/>
    <x:xf numFmtId="0" fontId="3" fillId="0" borderId="6" xfId="0" applyNumberFormat="1" applyFont="1" applyFill="1" applyBorder="1" applyAlignment="1">
      <x:alignment horizontal="center"/>
    </x:xf>
    <x:xf numFmtId="200" fontId="3" fillId="0" borderId="6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center" vertical="center"/>
    </x:xf>
    <x:xf numFmtId="0" fontId="6" fillId="4" borderId="6" xfId="0" applyNumberFormat="1" applyFont="1" applyFill="1" applyBorder="1" applyAlignment="1">
      <x:alignment horizontal="center" vertical="center" wrapText="1"/>
    </x:xf>
    <x:xf numFmtId="200" fontId="3" fillId="4" borderId="6" xfId="0" applyNumberFormat="1" applyFont="1" applyFill="1" applyBorder="1" applyAlignment="1">
      <x:alignment horizontal="center" vertical="center"/>
    </x:xf>
    <x:xf numFmtId="200" fontId="7" fillId="4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7" xfId="0" applyNumberFormat="1" applyFont="1" applyFill="1" applyBorder="1" applyAlignment="1">
      <x:alignment horizontal="center"/>
    </x:xf>
    <x:xf numFmtId="0" fontId="9" fillId="5" borderId="8" xfId="0" applyNumberFormat="1" applyFont="1" applyFill="1" applyBorder="1" applyAlignment="1">
      <x:alignment horizontal="center"/>
    </x:xf>
    <x:xf numFmtId="0" fontId="9" fillId="5" borderId="9" xfId="0" applyNumberFormat="1" applyFont="1" applyFill="1" applyBorder="1" applyAlignment="1">
      <x:alignment horizontal="center"/>
    </x:xf>
    <x:xf numFmtId="0" fontId="9" fillId="5" borderId="7" xfId="0" applyNumberFormat="1" applyFont="1" applyFill="1" applyBorder="1" applyAlignment="1">
      <x:alignment horizontal="center" vertical="center"/>
    </x:xf>
    <x:xf numFmtId="0" fontId="9" fillId="5" borderId="8" xfId="0" applyNumberFormat="1" applyFont="1" applyFill="1" applyBorder="1" applyAlignment="1">
      <x:alignment horizontal="center" vertical="center"/>
    </x:xf>
    <x:xf numFmtId="0" fontId="9" fillId="5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2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e8c6da85514d74" /><Relationship Type="http://schemas.openxmlformats.org/officeDocument/2006/relationships/theme" Target="/xl/theme/theme1.xml" Id="R9ebd21e8bec048a3" /><Relationship Type="http://schemas.openxmlformats.org/officeDocument/2006/relationships/sharedStrings" Target="/xl/sharedStrings.xml" Id="R15a81a49b0f542d2" /><Relationship Type="http://schemas.openxmlformats.org/officeDocument/2006/relationships/worksheet" Target="/xl/worksheets/sheet1.xml" Id="R82a1e5d52c4f418e" /><Relationship Type="http://schemas.openxmlformats.org/officeDocument/2006/relationships/worksheet" Target="/xl/worksheets/sheet2.xml" Id="R80e440adcfc14a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34" hidden="0" customWidth="1"/>
  </x:cols>
  <x:sheetData>
    <x:row r="1" ht="34" customHeight="1">
      <x:c r="A1" s="7" t="str">
        <x:v>Состояние</x:v>
      </x:c>
      <x:c r="B1" s="7" t="str">
        <x:v>Следующее состояние</x:v>
      </x:c>
      <x:c r="C1" s="7" t="str">
        <x:v>Q3</x:v>
      </x:c>
      <x:c r="D1" s="7" t="str">
        <x:v>Q2</x:v>
      </x:c>
      <x:c r="E1" s="7" t="str">
        <x:v>Q1</x:v>
      </x:c>
      <x:c r="F1" s="7" t="str">
        <x:v>Q0</x:v>
      </x:c>
      <x:c r="G1" s="7" t="str">
        <x:v>D3</x:v>
      </x:c>
      <x:c r="H1" s="7" t="str">
        <x:v>D2</x:v>
      </x:c>
      <x:c r="I1" s="7" t="str">
        <x:v>D1</x:v>
      </x:c>
      <x:c r="J1" s="7" t="str">
        <x:v>D0</x:v>
      </x:c>
      <x:c r="K1" s="7" t="str">
        <x:v>Примечание</x:v>
      </x:c>
    </x:row>
    <x:row r="2" ht="22" customHeight="1">
      <x:c r="A2" s="10" t="n">
        <x:v>0</x:v>
      </x:c>
      <x:c r="B2" s="10" t="n">
        <x:v>12</x:v>
      </x:c>
      <x:c r="C2" s="10" t="n">
        <x:f>MOD(INT($A2/8),2)</x:f>
        <x:v>0</x:v>
      </x:c>
      <x:c r="D2" s="10" t="n">
        <x:f>MOD(INT($A2/4),2)</x:f>
        <x:v>0</x:v>
      </x:c>
      <x:c r="E2" s="10" t="n">
        <x:f>MOD(INT($A2/2),2)</x:f>
        <x:v>0</x:v>
      </x:c>
      <x:c r="F2" s="10" t="n">
        <x:f>MOD(INT($A2/1),2)</x:f>
        <x:v>0</x:v>
      </x:c>
      <x:c r="G2" s="10" t="n">
        <x:f>IF($A2=1,"X",IF($A2=15,"X",MOD(INT($B2/8),2)))</x:f>
        <x:v>1</x:v>
      </x:c>
      <x:c r="H2" s="10" t="n">
        <x:f>IF($A2=1,"X",IF($A2=15,"X",MOD(INT($B2/4),2)))</x:f>
        <x:v>1</x:v>
      </x:c>
      <x:c r="I2" s="10" t="n">
        <x:f>IF($A2=1,"X",IF($A2=15,"X",MOD(INT($B2/2),2)))</x:f>
        <x:v>0</x:v>
      </x:c>
      <x:c r="J2" s="10" t="n">
        <x:f>IF($A2=1,"X",IF($A2=15,"X",MOD(INT($B2/1),2)))</x:f>
        <x:v>0</x:v>
      </x:c>
      <x:c r="K2" s="11" t="str">
        <x:v>Рабочее состояние</x:v>
      </x:c>
    </x:row>
    <x:row r="3" ht="22" customHeight="1">
      <x:c r="A3" s="10" t="n">
        <x:v>1</x:v>
      </x:c>
      <x:c r="B3" s="12"/>
      <x:c r="C3" s="10" t="n">
        <x:f>MOD(INT($A3/8),2)</x:f>
        <x:v>0</x:v>
      </x:c>
      <x:c r="D3" s="10" t="n">
        <x:f>MOD(INT($A3/4),2)</x:f>
        <x:v>0</x:v>
      </x:c>
      <x:c r="E3" s="10" t="n">
        <x:f>MOD(INT($A3/2),2)</x:f>
        <x:v>0</x:v>
      </x:c>
      <x:c r="F3" s="10" t="n">
        <x:f>MOD(INT($A3/1),2)</x:f>
        <x:v>1</x:v>
      </x:c>
      <x:c r="G3" s="10" t="str">
        <x:f>IF($A3=1,"X",IF($A3=15,"X",MOD(INT($B3/8),2)))</x:f>
        <x:v>X</x:v>
      </x:c>
      <x:c r="H3" s="10" t="str">
        <x:f>IF($A3=1,"X",IF($A3=15,"X",MOD(INT($B3/4),2)))</x:f>
        <x:v>X</x:v>
      </x:c>
      <x:c r="I3" s="10" t="str">
        <x:f>IF($A3=1,"X",IF($A3=15,"X",MOD(INT($B3/2),2)))</x:f>
        <x:v>X</x:v>
      </x:c>
      <x:c r="J3" s="10" t="str">
        <x:f>IF($A3=1,"X",IF($A3=15,"X",MOD(INT($B3/1),2)))</x:f>
        <x:v>X</x:v>
      </x:c>
      <x:c r="K3" s="11" t="str">
        <x:v>Не используется; X при минимизации</x:v>
      </x:c>
    </x:row>
    <x:row r="4" ht="22" customHeight="1">
      <x:c r="A4" s="10" t="n">
        <x:v>2</x:v>
      </x:c>
      <x:c r="B4" s="10" t="n">
        <x:v>14</x:v>
      </x:c>
      <x:c r="C4" s="10" t="n">
        <x:f>MOD(INT($A4/8),2)</x:f>
        <x:v>0</x:v>
      </x:c>
      <x:c r="D4" s="10" t="n">
        <x:f>MOD(INT($A4/4),2)</x:f>
        <x:v>0</x:v>
      </x:c>
      <x:c r="E4" s="10" t="n">
        <x:f>MOD(INT($A4/2),2)</x:f>
        <x:v>1</x:v>
      </x:c>
      <x:c r="F4" s="10" t="n">
        <x:f>MOD(INT($A4/1),2)</x:f>
        <x:v>0</x:v>
      </x:c>
      <x:c r="G4" s="10" t="n">
        <x:f>IF($A4=1,"X",IF($A4=15,"X",MOD(INT($B4/8),2)))</x:f>
        <x:v>1</x:v>
      </x:c>
      <x:c r="H4" s="10" t="n">
        <x:f>IF($A4=1,"X",IF($A4=15,"X",MOD(INT($B4/4),2)))</x:f>
        <x:v>1</x:v>
      </x:c>
      <x:c r="I4" s="10" t="n">
        <x:f>IF($A4=1,"X",IF($A4=15,"X",MOD(INT($B4/2),2)))</x:f>
        <x:v>1</x:v>
      </x:c>
      <x:c r="J4" s="10" t="n">
        <x:f>IF($A4=1,"X",IF($A4=15,"X",MOD(INT($B4/1),2)))</x:f>
        <x:v>0</x:v>
      </x:c>
      <x:c r="K4" s="11" t="str">
        <x:v>Рабочее состояние</x:v>
      </x:c>
    </x:row>
    <x:row r="5" ht="22" customHeight="1">
      <x:c r="A5" s="10" t="n">
        <x:v>3</x:v>
      </x:c>
      <x:c r="B5" s="10" t="n">
        <x:v>10</x:v>
      </x:c>
      <x:c r="C5" s="10" t="n">
        <x:f>MOD(INT($A5/8),2)</x:f>
        <x:v>0</x:v>
      </x:c>
      <x:c r="D5" s="10" t="n">
        <x:f>MOD(INT($A5/4),2)</x:f>
        <x:v>0</x:v>
      </x:c>
      <x:c r="E5" s="10" t="n">
        <x:f>MOD(INT($A5/2),2)</x:f>
        <x:v>1</x:v>
      </x:c>
      <x:c r="F5" s="10" t="n">
        <x:f>MOD(INT($A5/1),2)</x:f>
        <x:v>1</x:v>
      </x:c>
      <x:c r="G5" s="10" t="n">
        <x:f>IF($A5=1,"X",IF($A5=15,"X",MOD(INT($B5/8),2)))</x:f>
        <x:v>1</x:v>
      </x:c>
      <x:c r="H5" s="10" t="n">
        <x:f>IF($A5=1,"X",IF($A5=15,"X",MOD(INT($B5/4),2)))</x:f>
        <x:v>0</x:v>
      </x:c>
      <x:c r="I5" s="10" t="n">
        <x:f>IF($A5=1,"X",IF($A5=15,"X",MOD(INT($B5/2),2)))</x:f>
        <x:v>1</x:v>
      </x:c>
      <x:c r="J5" s="10" t="n">
        <x:f>IF($A5=1,"X",IF($A5=15,"X",MOD(INT($B5/1),2)))</x:f>
        <x:v>0</x:v>
      </x:c>
      <x:c r="K5" s="11" t="str">
        <x:v>Рабочее состояние</x:v>
      </x:c>
    </x:row>
    <x:row r="6" ht="22" customHeight="1">
      <x:c r="A6" s="10" t="n">
        <x:v>4</x:v>
      </x:c>
      <x:c r="B6" s="10" t="n">
        <x:v>3</x:v>
      </x:c>
      <x:c r="C6" s="10" t="n">
        <x:f>MOD(INT($A6/8),2)</x:f>
        <x:v>0</x:v>
      </x:c>
      <x:c r="D6" s="10" t="n">
        <x:f>MOD(INT($A6/4),2)</x:f>
        <x:v>1</x:v>
      </x:c>
      <x:c r="E6" s="10" t="n">
        <x:f>MOD(INT($A6/2),2)</x:f>
        <x:v>0</x:v>
      </x:c>
      <x:c r="F6" s="10" t="n">
        <x:f>MOD(INT($A6/1),2)</x:f>
        <x:v>0</x:v>
      </x:c>
      <x:c r="G6" s="10" t="n">
        <x:f>IF($A6=1,"X",IF($A6=15,"X",MOD(INT($B6/8),2)))</x:f>
        <x:v>0</x:v>
      </x:c>
      <x:c r="H6" s="10" t="n">
        <x:f>IF($A6=1,"X",IF($A6=15,"X",MOD(INT($B6/4),2)))</x:f>
        <x:v>0</x:v>
      </x:c>
      <x:c r="I6" s="10" t="n">
        <x:f>IF($A6=1,"X",IF($A6=15,"X",MOD(INT($B6/2),2)))</x:f>
        <x:v>1</x:v>
      </x:c>
      <x:c r="J6" s="10" t="n">
        <x:f>IF($A6=1,"X",IF($A6=15,"X",MOD(INT($B6/1),2)))</x:f>
        <x:v>1</x:v>
      </x:c>
      <x:c r="K6" s="11" t="str">
        <x:v>Рабочее состояние</x:v>
      </x:c>
    </x:row>
    <x:row r="7" ht="22" customHeight="1">
      <x:c r="A7" s="10" t="n">
        <x:v>5</x:v>
      </x:c>
      <x:c r="B7" s="10" t="n">
        <x:v>7</x:v>
      </x:c>
      <x:c r="C7" s="10" t="n">
        <x:f>MOD(INT($A7/8),2)</x:f>
        <x:v>0</x:v>
      </x:c>
      <x:c r="D7" s="10" t="n">
        <x:f>MOD(INT($A7/4),2)</x:f>
        <x:v>1</x:v>
      </x:c>
      <x:c r="E7" s="10" t="n">
        <x:f>MOD(INT($A7/2),2)</x:f>
        <x:v>0</x:v>
      </x:c>
      <x:c r="F7" s="10" t="n">
        <x:f>MOD(INT($A7/1),2)</x:f>
        <x:v>1</x:v>
      </x:c>
      <x:c r="G7" s="10" t="n">
        <x:f>IF($A7=1,"X",IF($A7=15,"X",MOD(INT($B7/8),2)))</x:f>
        <x:v>0</x:v>
      </x:c>
      <x:c r="H7" s="10" t="n">
        <x:f>IF($A7=1,"X",IF($A7=15,"X",MOD(INT($B7/4),2)))</x:f>
        <x:v>1</x:v>
      </x:c>
      <x:c r="I7" s="10" t="n">
        <x:f>IF($A7=1,"X",IF($A7=15,"X",MOD(INT($B7/2),2)))</x:f>
        <x:v>1</x:v>
      </x:c>
      <x:c r="J7" s="10" t="n">
        <x:f>IF($A7=1,"X",IF($A7=15,"X",MOD(INT($B7/1),2)))</x:f>
        <x:v>1</x:v>
      </x:c>
      <x:c r="K7" s="11" t="str">
        <x:v>Рабочее состояние</x:v>
      </x:c>
    </x:row>
    <x:row r="8" ht="22" customHeight="1">
      <x:c r="A8" s="10" t="n">
        <x:v>6</x:v>
      </x:c>
      <x:c r="B8" s="10" t="n">
        <x:v>13</x:v>
      </x:c>
      <x:c r="C8" s="10" t="n">
        <x:f>MOD(INT($A8/8),2)</x:f>
        <x:v>0</x:v>
      </x:c>
      <x:c r="D8" s="10" t="n">
        <x:f>MOD(INT($A8/4),2)</x:f>
        <x:v>1</x:v>
      </x:c>
      <x:c r="E8" s="10" t="n">
        <x:f>MOD(INT($A8/2),2)</x:f>
        <x:v>1</x:v>
      </x:c>
      <x:c r="F8" s="10" t="n">
        <x:f>MOD(INT($A8/1),2)</x:f>
        <x:v>0</x:v>
      </x:c>
      <x:c r="G8" s="10" t="n">
        <x:f>IF($A8=1,"X",IF($A8=15,"X",MOD(INT($B8/8),2)))</x:f>
        <x:v>1</x:v>
      </x:c>
      <x:c r="H8" s="10" t="n">
        <x:f>IF($A8=1,"X",IF($A8=15,"X",MOD(INT($B8/4),2)))</x:f>
        <x:v>1</x:v>
      </x:c>
      <x:c r="I8" s="10" t="n">
        <x:f>IF($A8=1,"X",IF($A8=15,"X",MOD(INT($B8/2),2)))</x:f>
        <x:v>0</x:v>
      </x:c>
      <x:c r="J8" s="10" t="n">
        <x:f>IF($A8=1,"X",IF($A8=15,"X",MOD(INT($B8/1),2)))</x:f>
        <x:v>1</x:v>
      </x:c>
      <x:c r="K8" s="11" t="str">
        <x:v>Рабочее состояние</x:v>
      </x:c>
    </x:row>
    <x:row r="9" ht="22" customHeight="1">
      <x:c r="A9" s="10" t="n">
        <x:v>7</x:v>
      </x:c>
      <x:c r="B9" s="10" t="n">
        <x:v>8</x:v>
      </x:c>
      <x:c r="C9" s="10" t="n">
        <x:f>MOD(INT($A9/8),2)</x:f>
        <x:v>0</x:v>
      </x:c>
      <x:c r="D9" s="10" t="n">
        <x:f>MOD(INT($A9/4),2)</x:f>
        <x:v>1</x:v>
      </x:c>
      <x:c r="E9" s="10" t="n">
        <x:f>MOD(INT($A9/2),2)</x:f>
        <x:v>1</x:v>
      </x:c>
      <x:c r="F9" s="10" t="n">
        <x:f>MOD(INT($A9/1),2)</x:f>
        <x:v>1</x:v>
      </x:c>
      <x:c r="G9" s="10" t="n">
        <x:f>IF($A9=1,"X",IF($A9=15,"X",MOD(INT($B9/8),2)))</x:f>
        <x:v>1</x:v>
      </x:c>
      <x:c r="H9" s="10" t="n">
        <x:f>IF($A9=1,"X",IF($A9=15,"X",MOD(INT($B9/4),2)))</x:f>
        <x:v>0</x:v>
      </x:c>
      <x:c r="I9" s="10" t="n">
        <x:f>IF($A9=1,"X",IF($A9=15,"X",MOD(INT($B9/2),2)))</x:f>
        <x:v>0</x:v>
      </x:c>
      <x:c r="J9" s="10" t="n">
        <x:f>IF($A9=1,"X",IF($A9=15,"X",MOD(INT($B9/1),2)))</x:f>
        <x:v>0</x:v>
      </x:c>
      <x:c r="K9" s="11" t="str">
        <x:v>Рабочее состояние</x:v>
      </x:c>
    </x:row>
    <x:row r="10" ht="22" customHeight="1">
      <x:c r="A10" s="10" t="n">
        <x:v>8</x:v>
      </x:c>
      <x:c r="B10" s="10" t="n">
        <x:v>4</x:v>
      </x:c>
      <x:c r="C10" s="10" t="n">
        <x:f>MOD(INT($A10/8),2)</x:f>
        <x:v>1</x:v>
      </x:c>
      <x:c r="D10" s="10" t="n">
        <x:f>MOD(INT($A10/4),2)</x:f>
        <x:v>0</x:v>
      </x:c>
      <x:c r="E10" s="10" t="n">
        <x:f>MOD(INT($A10/2),2)</x:f>
        <x:v>0</x:v>
      </x:c>
      <x:c r="F10" s="10" t="n">
        <x:f>MOD(INT($A10/1),2)</x:f>
        <x:v>0</x:v>
      </x:c>
      <x:c r="G10" s="10" t="n">
        <x:f>IF($A10=1,"X",IF($A10=15,"X",MOD(INT($B10/8),2)))</x:f>
        <x:v>0</x:v>
      </x:c>
      <x:c r="H10" s="10" t="n">
        <x:f>IF($A10=1,"X",IF($A10=15,"X",MOD(INT($B10/4),2)))</x:f>
        <x:v>1</x:v>
      </x:c>
      <x:c r="I10" s="10" t="n">
        <x:f>IF($A10=1,"X",IF($A10=15,"X",MOD(INT($B10/2),2)))</x:f>
        <x:v>0</x:v>
      </x:c>
      <x:c r="J10" s="10" t="n">
        <x:f>IF($A10=1,"X",IF($A10=15,"X",MOD(INT($B10/1),2)))</x:f>
        <x:v>0</x:v>
      </x:c>
      <x:c r="K10" s="11" t="str">
        <x:v>Рабочее состояние</x:v>
      </x:c>
    </x:row>
    <x:row r="11" ht="22" customHeight="1">
      <x:c r="A11" s="10" t="n">
        <x:v>9</x:v>
      </x:c>
      <x:c r="B11" s="10" t="n">
        <x:v>5</x:v>
      </x:c>
      <x:c r="C11" s="10" t="n">
        <x:f>MOD(INT($A11/8),2)</x:f>
        <x:v>1</x:v>
      </x:c>
      <x:c r="D11" s="10" t="n">
        <x:f>MOD(INT($A11/4),2)</x:f>
        <x:v>0</x:v>
      </x:c>
      <x:c r="E11" s="10" t="n">
        <x:f>MOD(INT($A11/2),2)</x:f>
        <x:v>0</x:v>
      </x:c>
      <x:c r="F11" s="10" t="n">
        <x:f>MOD(INT($A11/1),2)</x:f>
        <x:v>1</x:v>
      </x:c>
      <x:c r="G11" s="10" t="n">
        <x:f>IF($A11=1,"X",IF($A11=15,"X",MOD(INT($B11/8),2)))</x:f>
        <x:v>0</x:v>
      </x:c>
      <x:c r="H11" s="10" t="n">
        <x:f>IF($A11=1,"X",IF($A11=15,"X",MOD(INT($B11/4),2)))</x:f>
        <x:v>1</x:v>
      </x:c>
      <x:c r="I11" s="10" t="n">
        <x:f>IF($A11=1,"X",IF($A11=15,"X",MOD(INT($B11/2),2)))</x:f>
        <x:v>0</x:v>
      </x:c>
      <x:c r="J11" s="10" t="n">
        <x:f>IF($A11=1,"X",IF($A11=15,"X",MOD(INT($B11/1),2)))</x:f>
        <x:v>1</x:v>
      </x:c>
      <x:c r="K11" s="11" t="str">
        <x:v>Рабочее состояние</x:v>
      </x:c>
    </x:row>
    <x:row r="12" ht="22" customHeight="1">
      <x:c r="A12" s="10" t="n">
        <x:v>10</x:v>
      </x:c>
      <x:c r="B12" s="10" t="n">
        <x:v>6</x:v>
      </x:c>
      <x:c r="C12" s="10" t="n">
        <x:f>MOD(INT($A12/8),2)</x:f>
        <x:v>1</x:v>
      </x:c>
      <x:c r="D12" s="10" t="n">
        <x:f>MOD(INT($A12/4),2)</x:f>
        <x:v>0</x:v>
      </x:c>
      <x:c r="E12" s="10" t="n">
        <x:f>MOD(INT($A12/2),2)</x:f>
        <x:v>1</x:v>
      </x:c>
      <x:c r="F12" s="10" t="n">
        <x:f>MOD(INT($A12/1),2)</x:f>
        <x:v>0</x:v>
      </x:c>
      <x:c r="G12" s="10" t="n">
        <x:f>IF($A12=1,"X",IF($A12=15,"X",MOD(INT($B12/8),2)))</x:f>
        <x:v>0</x:v>
      </x:c>
      <x:c r="H12" s="10" t="n">
        <x:f>IF($A12=1,"X",IF($A12=15,"X",MOD(INT($B12/4),2)))</x:f>
        <x:v>1</x:v>
      </x:c>
      <x:c r="I12" s="10" t="n">
        <x:f>IF($A12=1,"X",IF($A12=15,"X",MOD(INT($B12/2),2)))</x:f>
        <x:v>1</x:v>
      </x:c>
      <x:c r="J12" s="10" t="n">
        <x:f>IF($A12=1,"X",IF($A12=15,"X",MOD(INT($B12/1),2)))</x:f>
        <x:v>0</x:v>
      </x:c>
      <x:c r="K12" s="11" t="str">
        <x:v>Рабочее состояние</x:v>
      </x:c>
    </x:row>
    <x:row r="13" ht="22" customHeight="1">
      <x:c r="A13" s="10" t="n">
        <x:v>11</x:v>
      </x:c>
      <x:c r="B13" s="10" t="n">
        <x:v>0</x:v>
      </x:c>
      <x:c r="C13" s="10" t="n">
        <x:f>MOD(INT($A13/8),2)</x:f>
        <x:v>1</x:v>
      </x:c>
      <x:c r="D13" s="10" t="n">
        <x:f>MOD(INT($A13/4),2)</x:f>
        <x:v>0</x:v>
      </x:c>
      <x:c r="E13" s="10" t="n">
        <x:f>MOD(INT($A13/2),2)</x:f>
        <x:v>1</x:v>
      </x:c>
      <x:c r="F13" s="10" t="n">
        <x:f>MOD(INT($A13/1),2)</x:f>
        <x:v>1</x:v>
      </x:c>
      <x:c r="G13" s="10" t="n">
        <x:f>IF($A13=1,"X",IF($A13=15,"X",MOD(INT($B13/8),2)))</x:f>
        <x:v>0</x:v>
      </x:c>
      <x:c r="H13" s="10" t="n">
        <x:f>IF($A13=1,"X",IF($A13=15,"X",MOD(INT($B13/4),2)))</x:f>
        <x:v>0</x:v>
      </x:c>
      <x:c r="I13" s="10" t="n">
        <x:f>IF($A13=1,"X",IF($A13=15,"X",MOD(INT($B13/2),2)))</x:f>
        <x:v>0</x:v>
      </x:c>
      <x:c r="J13" s="10" t="n">
        <x:f>IF($A13=1,"X",IF($A13=15,"X",MOD(INT($B13/1),2)))</x:f>
        <x:v>0</x:v>
      </x:c>
      <x:c r="K13" s="11" t="str">
        <x:v>Рабочее состояние</x:v>
      </x:c>
    </x:row>
    <x:row r="14" ht="22" customHeight="1">
      <x:c r="A14" s="10" t="n">
        <x:v>12</x:v>
      </x:c>
      <x:c r="B14" s="10" t="n">
        <x:v>9</x:v>
      </x:c>
      <x:c r="C14" s="10" t="n">
        <x:f>MOD(INT($A14/8),2)</x:f>
        <x:v>1</x:v>
      </x:c>
      <x:c r="D14" s="10" t="n">
        <x:f>MOD(INT($A14/4),2)</x:f>
        <x:v>1</x:v>
      </x:c>
      <x:c r="E14" s="10" t="n">
        <x:f>MOD(INT($A14/2),2)</x:f>
        <x:v>0</x:v>
      </x:c>
      <x:c r="F14" s="10" t="n">
        <x:f>MOD(INT($A14/1),2)</x:f>
        <x:v>0</x:v>
      </x:c>
      <x:c r="G14" s="10" t="n">
        <x:f>IF($A14=1,"X",IF($A14=15,"X",MOD(INT($B14/8),2)))</x:f>
        <x:v>1</x:v>
      </x:c>
      <x:c r="H14" s="10" t="n">
        <x:f>IF($A14=1,"X",IF($A14=15,"X",MOD(INT($B14/4),2)))</x:f>
        <x:v>0</x:v>
      </x:c>
      <x:c r="I14" s="10" t="n">
        <x:f>IF($A14=1,"X",IF($A14=15,"X",MOD(INT($B14/2),2)))</x:f>
        <x:v>0</x:v>
      </x:c>
      <x:c r="J14" s="10" t="n">
        <x:f>IF($A14=1,"X",IF($A14=15,"X",MOD(INT($B14/1),2)))</x:f>
        <x:v>1</x:v>
      </x:c>
      <x:c r="K14" s="11" t="str">
        <x:v>Рабочее состояние</x:v>
      </x:c>
    </x:row>
    <x:row r="15" ht="22" customHeight="1">
      <x:c r="A15" s="10" t="n">
        <x:v>13</x:v>
      </x:c>
      <x:c r="B15" s="10" t="n">
        <x:v>2</x:v>
      </x:c>
      <x:c r="C15" s="10" t="n">
        <x:f>MOD(INT($A15/8),2)</x:f>
        <x:v>1</x:v>
      </x:c>
      <x:c r="D15" s="10" t="n">
        <x:f>MOD(INT($A15/4),2)</x:f>
        <x:v>1</x:v>
      </x:c>
      <x:c r="E15" s="10" t="n">
        <x:f>MOD(INT($A15/2),2)</x:f>
        <x:v>0</x:v>
      </x:c>
      <x:c r="F15" s="10" t="n">
        <x:f>MOD(INT($A15/1),2)</x:f>
        <x:v>1</x:v>
      </x:c>
      <x:c r="G15" s="10" t="n">
        <x:f>IF($A15=1,"X",IF($A15=15,"X",MOD(INT($B15/8),2)))</x:f>
        <x:v>0</x:v>
      </x:c>
      <x:c r="H15" s="10" t="n">
        <x:f>IF($A15=1,"X",IF($A15=15,"X",MOD(INT($B15/4),2)))</x:f>
        <x:v>0</x:v>
      </x:c>
      <x:c r="I15" s="10" t="n">
        <x:f>IF($A15=1,"X",IF($A15=15,"X",MOD(INT($B15/2),2)))</x:f>
        <x:v>1</x:v>
      </x:c>
      <x:c r="J15" s="10" t="n">
        <x:f>IF($A15=1,"X",IF($A15=15,"X",MOD(INT($B15/1),2)))</x:f>
        <x:v>0</x:v>
      </x:c>
      <x:c r="K15" s="11" t="str">
        <x:v>Рабочее состояние</x:v>
      </x:c>
    </x:row>
    <x:row r="16" ht="22" customHeight="1">
      <x:c r="A16" s="10" t="n">
        <x:v>14</x:v>
      </x:c>
      <x:c r="B16" s="10" t="n">
        <x:v>11</x:v>
      </x:c>
      <x:c r="C16" s="10" t="n">
        <x:f>MOD(INT($A16/8),2)</x:f>
        <x:v>1</x:v>
      </x:c>
      <x:c r="D16" s="10" t="n">
        <x:f>MOD(INT($A16/4),2)</x:f>
        <x:v>1</x:v>
      </x:c>
      <x:c r="E16" s="10" t="n">
        <x:f>MOD(INT($A16/2),2)</x:f>
        <x:v>1</x:v>
      </x:c>
      <x:c r="F16" s="10" t="n">
        <x:f>MOD(INT($A16/1),2)</x:f>
        <x:v>0</x:v>
      </x:c>
      <x:c r="G16" s="10" t="n">
        <x:f>IF($A16=1,"X",IF($A16=15,"X",MOD(INT($B16/8),2)))</x:f>
        <x:v>1</x:v>
      </x:c>
      <x:c r="H16" s="10" t="n">
        <x:f>IF($A16=1,"X",IF($A16=15,"X",MOD(INT($B16/4),2)))</x:f>
        <x:v>0</x:v>
      </x:c>
      <x:c r="I16" s="10" t="n">
        <x:f>IF($A16=1,"X",IF($A16=15,"X",MOD(INT($B16/2),2)))</x:f>
        <x:v>1</x:v>
      </x:c>
      <x:c r="J16" s="10" t="n">
        <x:f>IF($A16=1,"X",IF($A16=15,"X",MOD(INT($B16/1),2)))</x:f>
        <x:v>1</x:v>
      </x:c>
      <x:c r="K16" s="11" t="str">
        <x:v>Рабочее состояние</x:v>
      </x:c>
    </x:row>
    <x:row r="17" ht="22" customHeight="1">
      <x:c r="A17" s="10" t="n">
        <x:v>15</x:v>
      </x:c>
      <x:c r="B17" s="12"/>
      <x:c r="C17" s="10" t="n">
        <x:f>MOD(INT($A17/8),2)</x:f>
        <x:v>1</x:v>
      </x:c>
      <x:c r="D17" s="10" t="n">
        <x:f>MOD(INT($A17/4),2)</x:f>
        <x:v>1</x:v>
      </x:c>
      <x:c r="E17" s="10" t="n">
        <x:f>MOD(INT($A17/2),2)</x:f>
        <x:v>1</x:v>
      </x:c>
      <x:c r="F17" s="10" t="n">
        <x:f>MOD(INT($A17/1),2)</x:f>
        <x:v>1</x:v>
      </x:c>
      <x:c r="G17" s="10" t="str">
        <x:f>IF($A17=1,"X",IF($A17=15,"X",MOD(INT($B17/8),2)))</x:f>
        <x:v>X</x:v>
      </x:c>
      <x:c r="H17" s="10" t="str">
        <x:f>IF($A17=1,"X",IF($A17=15,"X",MOD(INT($B17/4),2)))</x:f>
        <x:v>X</x:v>
      </x:c>
      <x:c r="I17" s="10" t="str">
        <x:f>IF($A17=1,"X",IF($A17=15,"X",MOD(INT($B17/2),2)))</x:f>
        <x:v>X</x:v>
      </x:c>
      <x:c r="J17" s="10" t="str">
        <x:f>IF($A17=1,"X",IF($A17=15,"X",MOD(INT($B17/1),2)))</x:f>
        <x:v>X</x:v>
      </x:c>
      <x:c r="K17" s="11" t="str">
        <x:v>Не используется; X при минимизации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7" max="7" width="13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6" max="6" width="3" hidden="0" customWidth="1"/>
  </x:cols>
  <x:sheetData>
    <x:row r="1" ht="28" customHeight="1">
      <x:c r="A1" s="16" t="str">
        <x:v>Карты Карно входов D3…D0</x:v>
      </x:c>
      <x:c r="B1" s="16" t="str">
        <x:v>Карты Карно входов D3…D0</x:v>
      </x:c>
      <x:c r="C1" s="16" t="str">
        <x:v>Карты Карно входов D3…D0</x:v>
      </x:c>
      <x:c r="D1" s="16" t="str">
        <x:v>Карты Карно входов D3…D0</x:v>
      </x:c>
      <x:c r="E1" s="16" t="str">
        <x:v>Карты Карно входов D3…D0</x:v>
      </x:c>
      <x:c r="F1" s="16" t="str">
        <x:v>Карты Карно входов D3…D0</x:v>
      </x:c>
      <x:c r="G1" s="16" t="str">
        <x:v>Карты Карно входов D3…D0</x:v>
      </x:c>
      <x:c r="H1" s="16" t="str">
        <x:v>Карты Карно входов D3…D0</x:v>
      </x:c>
      <x:c r="I1" s="16" t="str">
        <x:v>Карты Карно входов D3…D0</x:v>
      </x:c>
      <x:c r="J1" s="16" t="str">
        <x:v>Карты Карно входов D3…D0</x:v>
      </x:c>
      <x:c r="K1" s="16" t="str">
        <x:v>Карты Карно входов D3…D0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 ht="24" customHeight="1">
      <x:c r="A3" s="13"/>
      <x:c r="B3" s="25" t="str">
        <x:v>D3</x:v>
      </x:c>
      <x:c r="C3" s="26" t="str">
        <x:v>D3</x:v>
      </x:c>
      <x:c r="D3" s="26" t="str">
        <x:v>D3</x:v>
      </x:c>
      <x:c r="E3" s="27" t="str">
        <x:v>D3</x:v>
      </x:c>
      <x:c r="F3" s="13"/>
      <x:c r="G3" s="13"/>
      <x:c r="H3" s="25" t="str">
        <x:v>D2</x:v>
      </x:c>
      <x:c r="I3" s="26" t="str">
        <x:v>D2</x:v>
      </x:c>
      <x:c r="J3" s="26" t="str">
        <x:v>D2</x:v>
      </x:c>
      <x:c r="K3" s="27" t="str">
        <x:v>D2</x:v>
      </x:c>
    </x:row>
    <x:row r="4" ht="25" customHeight="1">
      <x:c r="A4" s="37" t="str">
        <x:v>Q3Q2 \ Q1Q0</x:v>
      </x:c>
      <x:c r="B4" s="39" t="str">
        <x:v>00</x:v>
      </x:c>
      <x:c r="C4" s="39" t="str">
        <x:v>01</x:v>
      </x:c>
      <x:c r="D4" s="39" t="str">
        <x:v>11</x:v>
      </x:c>
      <x:c r="E4" s="39" t="str">
        <x:v>10</x:v>
      </x:c>
      <x:c r="F4" s="13"/>
      <x:c r="G4" s="37" t="str">
        <x:v>Q3Q2 \ Q1Q0</x:v>
      </x:c>
      <x:c r="H4" s="39" t="str">
        <x:v>00</x:v>
      </x:c>
      <x:c r="I4" s="39" t="str">
        <x:v>01</x:v>
      </x:c>
      <x:c r="J4" s="39" t="str">
        <x:v>11</x:v>
      </x:c>
      <x:c r="K4" s="39" t="str">
        <x:v>10</x:v>
      </x:c>
    </x:row>
    <x:row r="5" ht="25" customHeight="1">
      <x:c r="A5" s="39" t="str">
        <x:v>00</x:v>
      </x:c>
      <x:c r="B5" s="40" t="n">
        <x:f>'Переходы'!G2</x:f>
        <x:v>1</x:v>
      </x:c>
      <x:c r="C5" s="40" t="str">
        <x:f>'Переходы'!G3</x:f>
        <x:v>X</x:v>
      </x:c>
      <x:c r="D5" s="40" t="n">
        <x:f>'Переходы'!G5</x:f>
        <x:v>1</x:v>
      </x:c>
      <x:c r="E5" s="40" t="n">
        <x:f>'Переходы'!G4</x:f>
        <x:v>1</x:v>
      </x:c>
      <x:c r="F5" s="13"/>
      <x:c r="G5" s="39" t="str">
        <x:v>00</x:v>
      </x:c>
      <x:c r="H5" s="40" t="n">
        <x:f>'Переходы'!H2</x:f>
        <x:v>1</x:v>
      </x:c>
      <x:c r="I5" s="40" t="str">
        <x:f>'Переходы'!H3</x:f>
        <x:v>X</x:v>
      </x:c>
      <x:c r="J5" s="40" t="n">
        <x:f>'Переходы'!H5</x:f>
        <x:v>0</x:v>
      </x:c>
      <x:c r="K5" s="40" t="n">
        <x:f>'Переходы'!H4</x:f>
        <x:v>1</x:v>
      </x:c>
    </x:row>
    <x:row r="6" ht="25" customHeight="1">
      <x:c r="A6" s="39" t="str">
        <x:v>01</x:v>
      </x:c>
      <x:c r="B6" s="40" t="n">
        <x:f>'Переходы'!G6</x:f>
        <x:v>0</x:v>
      </x:c>
      <x:c r="C6" s="40" t="n">
        <x:f>'Переходы'!G7</x:f>
        <x:v>0</x:v>
      </x:c>
      <x:c r="D6" s="40" t="n">
        <x:f>'Переходы'!G9</x:f>
        <x:v>1</x:v>
      </x:c>
      <x:c r="E6" s="40" t="n">
        <x:f>'Переходы'!G8</x:f>
        <x:v>1</x:v>
      </x:c>
      <x:c r="F6" s="13"/>
      <x:c r="G6" s="39" t="str">
        <x:v>01</x:v>
      </x:c>
      <x:c r="H6" s="40" t="n">
        <x:f>'Переходы'!H6</x:f>
        <x:v>0</x:v>
      </x:c>
      <x:c r="I6" s="40" t="n">
        <x:f>'Переходы'!H7</x:f>
        <x:v>1</x:v>
      </x:c>
      <x:c r="J6" s="40" t="n">
        <x:f>'Переходы'!H9</x:f>
        <x:v>0</x:v>
      </x:c>
      <x:c r="K6" s="40" t="n">
        <x:f>'Переходы'!H8</x:f>
        <x:v>1</x:v>
      </x:c>
    </x:row>
    <x:row r="7" ht="25" customHeight="1">
      <x:c r="A7" s="39" t="str">
        <x:v>11</x:v>
      </x:c>
      <x:c r="B7" s="40" t="n">
        <x:f>'Переходы'!G14</x:f>
        <x:v>1</x:v>
      </x:c>
      <x:c r="C7" s="40" t="n">
        <x:f>'Переходы'!G15</x:f>
        <x:v>0</x:v>
      </x:c>
      <x:c r="D7" s="40" t="str">
        <x:f>'Переходы'!G17</x:f>
        <x:v>X</x:v>
      </x:c>
      <x:c r="E7" s="40" t="n">
        <x:f>'Переходы'!G16</x:f>
        <x:v>1</x:v>
      </x:c>
      <x:c r="F7" s="13"/>
      <x:c r="G7" s="39" t="str">
        <x:v>11</x:v>
      </x:c>
      <x:c r="H7" s="40" t="n">
        <x:f>'Переходы'!H14</x:f>
        <x:v>0</x:v>
      </x:c>
      <x:c r="I7" s="40" t="n">
        <x:f>'Переходы'!H15</x:f>
        <x:v>0</x:v>
      </x:c>
      <x:c r="J7" s="40" t="str">
        <x:f>'Переходы'!H17</x:f>
        <x:v>X</x:v>
      </x:c>
      <x:c r="K7" s="40" t="n">
        <x:f>'Переходы'!H16</x:f>
        <x:v>0</x:v>
      </x:c>
    </x:row>
    <x:row r="8" ht="25" customHeight="1">
      <x:c r="A8" s="39" t="str">
        <x:v>10</x:v>
      </x:c>
      <x:c r="B8" s="40" t="n">
        <x:f>'Переходы'!G10</x:f>
        <x:v>0</x:v>
      </x:c>
      <x:c r="C8" s="40" t="n">
        <x:f>'Переходы'!G11</x:f>
        <x:v>0</x:v>
      </x:c>
      <x:c r="D8" s="40" t="n">
        <x:f>'Переходы'!G13</x:f>
        <x:v>0</x:v>
      </x:c>
      <x:c r="E8" s="40" t="n">
        <x:f>'Переходы'!G12</x:f>
        <x:v>0</x:v>
      </x:c>
      <x:c r="F8" s="13"/>
      <x:c r="G8" s="39" t="str">
        <x:v>10</x:v>
      </x:c>
      <x:c r="H8" s="40" t="n">
        <x:f>'Переходы'!H10</x:f>
        <x:v>1</x:v>
      </x:c>
      <x:c r="I8" s="40" t="n">
        <x:f>'Переходы'!H11</x:f>
        <x:v>1</x:v>
      </x:c>
      <x:c r="J8" s="40" t="n">
        <x:f>'Переходы'!H13</x:f>
        <x:v>0</x:v>
      </x:c>
      <x:c r="K8" s="40" t="n">
        <x:f>'Переходы'!H12</x:f>
        <x:v>1</x:v>
      </x:c>
    </x:row>
    <x:row r="9" ht="22" customHeight="1">
      <x:c r="A9" s="43" t="str">
        <x:v>а) D3</x:v>
      </x:c>
      <x:c r="B9" s="43" t="str">
        <x:v>а) D3</x:v>
      </x:c>
      <x:c r="C9" s="43" t="str">
        <x:v>а) D3</x:v>
      </x:c>
      <x:c r="D9" s="43" t="str">
        <x:v>а) D3</x:v>
      </x:c>
      <x:c r="E9" s="43" t="str">
        <x:v>а) D3</x:v>
      </x:c>
      <x:c r="F9" s="13"/>
      <x:c r="G9" s="43" t="str">
        <x:v>б) D2</x:v>
      </x:c>
      <x:c r="H9" s="43" t="str">
        <x:v>б) D2</x:v>
      </x:c>
      <x:c r="I9" s="43" t="str">
        <x:v>б) D2</x:v>
      </x:c>
      <x:c r="J9" s="43" t="str">
        <x:v>б) D2</x:v>
      </x:c>
      <x:c r="K9" s="43" t="str">
        <x:v>б) D2</x:v>
      </x:c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</x:row>
    <x:row r="11" ht="24" customHeight="1">
      <x:c r="A11" s="13"/>
      <x:c r="B11" s="25" t="str">
        <x:v>D1</x:v>
      </x:c>
      <x:c r="C11" s="26" t="str">
        <x:v>D1</x:v>
      </x:c>
      <x:c r="D11" s="26" t="str">
        <x:v>D1</x:v>
      </x:c>
      <x:c r="E11" s="27" t="str">
        <x:v>D1</x:v>
      </x:c>
      <x:c r="F11" s="13"/>
      <x:c r="G11" s="13"/>
      <x:c r="H11" s="25" t="str">
        <x:v>D0</x:v>
      </x:c>
      <x:c r="I11" s="26" t="str">
        <x:v>D0</x:v>
      </x:c>
      <x:c r="J11" s="26" t="str">
        <x:v>D0</x:v>
      </x:c>
      <x:c r="K11" s="27" t="str">
        <x:v>D0</x:v>
      </x:c>
    </x:row>
    <x:row r="12" ht="25" customHeight="1">
      <x:c r="A12" s="37" t="str">
        <x:v>Q3Q2 \ Q1Q0</x:v>
      </x:c>
      <x:c r="B12" s="39" t="str">
        <x:v>00</x:v>
      </x:c>
      <x:c r="C12" s="39" t="str">
        <x:v>01</x:v>
      </x:c>
      <x:c r="D12" s="39" t="str">
        <x:v>11</x:v>
      </x:c>
      <x:c r="E12" s="39" t="str">
        <x:v>10</x:v>
      </x:c>
      <x:c r="F12" s="13"/>
      <x:c r="G12" s="37" t="str">
        <x:v>Q3Q2 \ Q1Q0</x:v>
      </x:c>
      <x:c r="H12" s="39" t="str">
        <x:v>00</x:v>
      </x:c>
      <x:c r="I12" s="39" t="str">
        <x:v>01</x:v>
      </x:c>
      <x:c r="J12" s="39" t="str">
        <x:v>11</x:v>
      </x:c>
      <x:c r="K12" s="39" t="str">
        <x:v>10</x:v>
      </x:c>
    </x:row>
    <x:row r="13" ht="25" customHeight="1">
      <x:c r="A13" s="39" t="str">
        <x:v>00</x:v>
      </x:c>
      <x:c r="B13" s="40" t="n">
        <x:f>'Переходы'!I2</x:f>
        <x:v>0</x:v>
      </x:c>
      <x:c r="C13" s="40" t="str">
        <x:f>'Переходы'!I3</x:f>
        <x:v>X</x:v>
      </x:c>
      <x:c r="D13" s="40" t="n">
        <x:f>'Переходы'!I5</x:f>
        <x:v>1</x:v>
      </x:c>
      <x:c r="E13" s="40" t="n">
        <x:f>'Переходы'!I4</x:f>
        <x:v>1</x:v>
      </x:c>
      <x:c r="F13" s="13"/>
      <x:c r="G13" s="39" t="str">
        <x:v>00</x:v>
      </x:c>
      <x:c r="H13" s="40" t="n">
        <x:f>'Переходы'!J2</x:f>
        <x:v>0</x:v>
      </x:c>
      <x:c r="I13" s="40" t="str">
        <x:f>'Переходы'!J3</x:f>
        <x:v>X</x:v>
      </x:c>
      <x:c r="J13" s="40" t="n">
        <x:f>'Переходы'!J5</x:f>
        <x:v>0</x:v>
      </x:c>
      <x:c r="K13" s="40" t="n">
        <x:f>'Переходы'!J4</x:f>
        <x:v>0</x:v>
      </x:c>
    </x:row>
    <x:row r="14" ht="25" customHeight="1">
      <x:c r="A14" s="39" t="str">
        <x:v>01</x:v>
      </x:c>
      <x:c r="B14" s="40" t="n">
        <x:f>'Переходы'!I6</x:f>
        <x:v>1</x:v>
      </x:c>
      <x:c r="C14" s="40" t="n">
        <x:f>'Переходы'!I7</x:f>
        <x:v>1</x:v>
      </x:c>
      <x:c r="D14" s="40" t="n">
        <x:f>'Переходы'!I9</x:f>
        <x:v>0</x:v>
      </x:c>
      <x:c r="E14" s="40" t="n">
        <x:f>'Переходы'!I8</x:f>
        <x:v>0</x:v>
      </x:c>
      <x:c r="F14" s="13"/>
      <x:c r="G14" s="39" t="str">
        <x:v>01</x:v>
      </x:c>
      <x:c r="H14" s="40" t="n">
        <x:f>'Переходы'!J6</x:f>
        <x:v>1</x:v>
      </x:c>
      <x:c r="I14" s="40" t="n">
        <x:f>'Переходы'!J7</x:f>
        <x:v>1</x:v>
      </x:c>
      <x:c r="J14" s="40" t="n">
        <x:f>'Переходы'!J9</x:f>
        <x:v>0</x:v>
      </x:c>
      <x:c r="K14" s="40" t="n">
        <x:f>'Переходы'!J8</x:f>
        <x:v>1</x:v>
      </x:c>
    </x:row>
    <x:row r="15" ht="25" customHeight="1">
      <x:c r="A15" s="39" t="str">
        <x:v>11</x:v>
      </x:c>
      <x:c r="B15" s="40" t="n">
        <x:f>'Переходы'!I14</x:f>
        <x:v>0</x:v>
      </x:c>
      <x:c r="C15" s="40" t="n">
        <x:f>'Переходы'!I15</x:f>
        <x:v>1</x:v>
      </x:c>
      <x:c r="D15" s="40" t="str">
        <x:f>'Переходы'!I17</x:f>
        <x:v>X</x:v>
      </x:c>
      <x:c r="E15" s="40" t="n">
        <x:f>'Переходы'!I16</x:f>
        <x:v>1</x:v>
      </x:c>
      <x:c r="F15" s="13"/>
      <x:c r="G15" s="39" t="str">
        <x:v>11</x:v>
      </x:c>
      <x:c r="H15" s="40" t="n">
        <x:f>'Переходы'!J14</x:f>
        <x:v>1</x:v>
      </x:c>
      <x:c r="I15" s="40" t="n">
        <x:f>'Переходы'!J15</x:f>
        <x:v>0</x:v>
      </x:c>
      <x:c r="J15" s="40" t="str">
        <x:f>'Переходы'!J17</x:f>
        <x:v>X</x:v>
      </x:c>
      <x:c r="K15" s="40" t="n">
        <x:f>'Переходы'!J16</x:f>
        <x:v>1</x:v>
      </x:c>
    </x:row>
    <x:row r="16" ht="25" customHeight="1">
      <x:c r="A16" s="39" t="str">
        <x:v>10</x:v>
      </x:c>
      <x:c r="B16" s="40" t="n">
        <x:f>'Переходы'!I10</x:f>
        <x:v>0</x:v>
      </x:c>
      <x:c r="C16" s="40" t="n">
        <x:f>'Переходы'!I11</x:f>
        <x:v>0</x:v>
      </x:c>
      <x:c r="D16" s="40" t="n">
        <x:f>'Переходы'!I13</x:f>
        <x:v>0</x:v>
      </x:c>
      <x:c r="E16" s="40" t="n">
        <x:f>'Переходы'!I12</x:f>
        <x:v>1</x:v>
      </x:c>
      <x:c r="F16" s="13"/>
      <x:c r="G16" s="39" t="str">
        <x:v>10</x:v>
      </x:c>
      <x:c r="H16" s="40" t="n">
        <x:f>'Переходы'!J10</x:f>
        <x:v>0</x:v>
      </x:c>
      <x:c r="I16" s="40" t="n">
        <x:f>'Переходы'!J11</x:f>
        <x:v>1</x:v>
      </x:c>
      <x:c r="J16" s="40" t="n">
        <x:f>'Переходы'!J13</x:f>
        <x:v>0</x:v>
      </x:c>
      <x:c r="K16" s="40" t="n">
        <x:f>'Переходы'!J12</x:f>
        <x:v>0</x:v>
      </x:c>
    </x:row>
    <x:row r="17" ht="22" customHeight="1">
      <x:c r="A17" s="43" t="str">
        <x:v>в) D1</x:v>
      </x:c>
      <x:c r="B17" s="43" t="str">
        <x:v>в) D1</x:v>
      </x:c>
      <x:c r="C17" s="43" t="str">
        <x:v>в) D1</x:v>
      </x:c>
      <x:c r="D17" s="43" t="str">
        <x:v>в) D1</x:v>
      </x:c>
      <x:c r="E17" s="43" t="str">
        <x:v>в) D1</x:v>
      </x:c>
      <x:c r="F17" s="13"/>
      <x:c r="G17" s="43" t="str">
        <x:v>г) D0</x:v>
      </x:c>
      <x:c r="H17" s="43" t="str">
        <x:v>г) D0</x:v>
      </x:c>
      <x:c r="I17" s="43" t="str">
        <x:v>г) D0</x:v>
      </x:c>
      <x:c r="J17" s="43" t="str">
        <x:v>г) D0</x:v>
      </x:c>
      <x:c r="K17" s="43" t="str">
        <x:v>г) D0</x:v>
      </x:c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</x:row>
    <x:row r="19" ht="24" customHeight="1">
      <x:c r="A19" s="52" t="str">
        <x:v>1 — единичный набор; 0 — нулевой набор; X — неиспользуемое состояние</x:v>
      </x:c>
      <x:c r="B19" s="53" t="str">
        <x:v>1 — единичный набор; 0 — нулевой набор; X — неиспользуемое состояние</x:v>
      </x:c>
      <x:c r="C19" s="53" t="str">
        <x:v>1 — единичный набор; 0 — нулевой набор; X — неиспользуемое состояние</x:v>
      </x:c>
      <x:c r="D19" s="53" t="str">
        <x:v>1 — единичный набор; 0 — нулевой набор; X — неиспользуемое состояние</x:v>
      </x:c>
      <x:c r="E19" s="53" t="str">
        <x:v>1 — единичный набор; 0 — нулевой набор; X — неиспользуемое состояние</x:v>
      </x:c>
      <x:c r="F19" s="53" t="str">
        <x:v>1 — единичный набор; 0 — нулевой набор; X — неиспользуемое состояние</x:v>
      </x:c>
      <x:c r="G19" s="53" t="str">
        <x:v>1 — единичный набор; 0 — нулевой набор; X — неиспользуемое состояние</x:v>
      </x:c>
      <x:c r="H19" s="53" t="str">
        <x:v>1 — единичный набор; 0 — нулевой набор; X — неиспользуемое состояние</x:v>
      </x:c>
      <x:c r="I19" s="53" t="str">
        <x:v>1 — единичный набор; 0 — нулевой набор; X — неиспользуемое состояние</x:v>
      </x:c>
      <x:c r="J19" s="53" t="str">
        <x:v>1 — единичный набор; 0 — нулевой набор; X — неиспользуемое состояние</x:v>
      </x:c>
      <x:c r="K19" s="54" t="str">
        <x:v>1 — единичный набор; 0 — нулевой набор; X — неиспользуемое состояние</x:v>
      </x:c>
    </x:row>
  </x:sheetData>
  <x:mergeCells>
    <x:mergeCell ref="A1:K1"/>
    <x:mergeCell ref="B3:E3"/>
    <x:mergeCell ref="A9:E9"/>
    <x:mergeCell ref="H3:K3"/>
    <x:mergeCell ref="G9:K9"/>
    <x:mergeCell ref="B11:E11"/>
    <x:mergeCell ref="A17:E17"/>
    <x:mergeCell ref="H11:K11"/>
    <x:mergeCell ref="G17:K17"/>
    <x:mergeCell ref="A19:K19"/>
  </x:mergeCells>
  <x:conditionalFormatting sqref="B5:E8">
    <x:cfRule type="cellIs" dxfId="0" priority="1" operator="equal">
      <x:formula>1</x:formula>
    </x:cfRule>
    <x:cfRule type="cellIs" dxfId="1" priority="2" operator="equal">
      <x:formula>0</x:formula>
    </x:cfRule>
    <x:cfRule type="containsText" dxfId="2" priority="3" operator="containsText" text="X"/>
  </x:conditionalFormatting>
  <x:conditionalFormatting sqref="H5:K8">
    <x:cfRule type="cellIs" dxfId="3" priority="4" operator="equal">
      <x:formula>1</x:formula>
    </x:cfRule>
    <x:cfRule type="cellIs" dxfId="4" priority="5" operator="equal">
      <x:formula>0</x:formula>
    </x:cfRule>
    <x:cfRule type="containsText" dxfId="5" priority="6" operator="containsText" text="X"/>
  </x:conditionalFormatting>
  <x:conditionalFormatting sqref="B13:E16">
    <x:cfRule type="cellIs" dxfId="6" priority="7" operator="equal">
      <x:formula>1</x:formula>
    </x:cfRule>
    <x:cfRule type="cellIs" dxfId="7" priority="8" operator="equal">
      <x:formula>0</x:formula>
    </x:cfRule>
    <x:cfRule type="containsText" dxfId="8" priority="9" operator="containsText" text="X"/>
  </x:conditionalFormatting>
  <x:conditionalFormatting sqref="H13:K16">
    <x:cfRule type="cellIs" dxfId="9" priority="10" operator="equal">
      <x:formula>1</x:formula>
    </x:cfRule>
    <x:cfRule type="cellIs" dxfId="10" priority="11" operator="equal">
      <x:formula>0</x:formula>
    </x:cfRule>
    <x:cfRule type="containsText" dxfId="11" priority="12" operator="containsText" text="X"/>
  </x:conditionalFormatting>
  <x:pageMargins left="0.7" right="0.7" top="0.75" bottom="0.75" header="0.3" footer="0.3"/>
</x:worksheet>
</file>